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Summary" sheetId="1" state="visible" r:id="rId1"/>
    <sheet xmlns:r="http://schemas.openxmlformats.org/officeDocument/2006/relationships" name="Payment History" sheetId="2" state="visible" r:id="rId2"/>
    <sheet xmlns:r="http://schemas.openxmlformats.org/officeDocument/2006/relationships" name="Amortization Schedule" sheetId="3" state="visible" r:id="rId3"/>
    <sheet xmlns:r="http://schemas.openxmlformats.org/officeDocument/2006/relationships" name="Covenant Headroo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&quot;x&quot;"/>
  </numFmts>
  <fonts count="11">
    <font>
      <name val="Calibri"/>
      <family val="2"/>
      <color theme="1"/>
      <sz val="11"/>
      <scheme val="minor"/>
    </font>
    <font>
      <name val="Calibri"/>
      <b val="1"/>
      <color rgb="001A2B4A"/>
      <sz val="14"/>
    </font>
    <font>
      <name val="Calibri"/>
      <color rgb="00595959"/>
      <sz val="9"/>
    </font>
    <font>
      <name val="Calibri"/>
      <color rgb="00595959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CC0000"/>
      <sz val="9"/>
    </font>
    <font>
      <name val="Calibri"/>
      <b val="1"/>
      <color rgb="00CC0000"/>
      <sz val="8.5"/>
    </font>
    <font>
      <name val="Calibri"/>
      <b val="1"/>
      <color rgb="001A2B4A"/>
      <sz val="13"/>
    </font>
    <font>
      <name val="Calibri"/>
      <b val="1"/>
      <color rgb="001A2B4A"/>
      <sz val="12"/>
    </font>
    <font>
      <name val="Calibri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CE4D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3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 indent="1"/>
    </xf>
    <xf numFmtId="3" fontId="6" fillId="3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indent="1"/>
    </xf>
    <xf numFmtId="3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7" fillId="3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10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12" customWidth="1" min="4" max="4"/>
    <col width="12" customWidth="1" min="5" max="5"/>
    <col width="20" customWidth="1" min="6" max="6"/>
    <col width="10" customWidth="1" min="7" max="7"/>
    <col width="16" customWidth="1" min="8" max="8"/>
    <col width="16" customWidth="1" min="9" max="9"/>
    <col width="14" customWidth="1" min="10" max="10"/>
    <col width="18" customWidth="1" min="11" max="11"/>
    <col width="20" customWidth="1" min="12" max="12"/>
    <col width="18" customWidth="1" min="13" max="13"/>
  </cols>
  <sheetData>
    <row r="1">
      <c r="A1" s="1" t="inlineStr">
        <is>
          <t>FIRSTBANK CORP -- DEBT SCHEDULE</t>
        </is>
      </c>
    </row>
    <row r="2">
      <c r="A2" s="2" t="inlineStr">
        <is>
          <t>As of December 31, 2024  |  CONFIDENTIAL  |  All amounts USD</t>
        </is>
      </c>
    </row>
    <row r="3">
      <c r="A3" s="3" t="inlineStr">
        <is>
          <t>Prepared per Credit Agreement Section 6.02(a)  |  Submitted to: LendCo Private Credit Fund II LP</t>
        </is>
      </c>
    </row>
    <row r="5" ht="30" customHeight="1">
      <c r="A5" s="4" t="inlineStr">
        <is>
          <t>Instrument</t>
        </is>
      </c>
      <c r="B5" s="4" t="inlineStr">
        <is>
          <t>Lender / Holder</t>
        </is>
      </c>
      <c r="C5" s="4" t="inlineStr">
        <is>
          <t>Facility Type</t>
        </is>
      </c>
      <c r="D5" s="4" t="inlineStr">
        <is>
          <t>Inception</t>
        </is>
      </c>
      <c r="E5" s="4" t="inlineStr">
        <is>
          <t>Maturity</t>
        </is>
      </c>
      <c r="F5" s="4" t="inlineStr">
        <is>
          <t>Interest Rate</t>
        </is>
      </c>
      <c r="G5" s="4" t="inlineStr">
        <is>
          <t>Pay Type</t>
        </is>
      </c>
      <c r="H5" s="4" t="inlineStr">
        <is>
          <t>Total Commitment</t>
        </is>
      </c>
      <c r="I5" s="4" t="inlineStr">
        <is>
          <t>Drawn Balance</t>
        </is>
      </c>
      <c r="J5" s="4" t="inlineStr">
        <is>
          <t>Undrawn</t>
        </is>
      </c>
      <c r="K5" s="4" t="inlineStr">
        <is>
          <t>Ranking</t>
        </is>
      </c>
      <c r="L5" s="4" t="inlineStr">
        <is>
          <t>Incl. in Total Indebt.</t>
        </is>
      </c>
      <c r="M5" s="4" t="inlineStr">
        <is>
          <t>Auditor Flag</t>
        </is>
      </c>
    </row>
    <row r="6">
      <c r="A6" s="5" t="inlineStr">
        <is>
          <t>Senior Term Loan A</t>
        </is>
      </c>
      <c r="B6" s="5" t="inlineStr">
        <is>
          <t>LendCo Private Credit Fund II LP</t>
        </is>
      </c>
      <c r="C6" s="5" t="inlineStr">
        <is>
          <t>Term Loan</t>
        </is>
      </c>
      <c r="D6" s="5" t="inlineStr">
        <is>
          <t>15-Mar-21</t>
        </is>
      </c>
      <c r="E6" s="5" t="inlineStr">
        <is>
          <t>15-Mar-28</t>
        </is>
      </c>
      <c r="F6" s="5" t="inlineStr">
        <is>
          <t>SOFR + 375bps (floor 0.50%)</t>
        </is>
      </c>
      <c r="G6" s="5" t="inlineStr">
        <is>
          <t>Cash</t>
        </is>
      </c>
      <c r="H6" s="6" t="n">
        <v>150000000</v>
      </c>
      <c r="I6" s="6" t="n">
        <v>125000000</v>
      </c>
      <c r="J6" s="6" t="n">
        <v>25000000</v>
      </c>
      <c r="K6" s="5" t="inlineStr">
        <is>
          <t>1st Lien Senior Secured</t>
        </is>
      </c>
      <c r="L6" s="5" t="inlineStr">
        <is>
          <t>YES</t>
        </is>
      </c>
      <c r="M6" s="5" t="inlineStr"/>
    </row>
    <row r="7">
      <c r="A7" s="5" t="inlineStr">
        <is>
          <t>Revolving Credit Facility</t>
        </is>
      </c>
      <c r="B7" s="5" t="inlineStr">
        <is>
          <t>LendCo Private Credit Fund II LP</t>
        </is>
      </c>
      <c r="C7" s="5" t="inlineStr">
        <is>
          <t>Revolver</t>
        </is>
      </c>
      <c r="D7" s="5" t="inlineStr">
        <is>
          <t>15-Mar-21</t>
        </is>
      </c>
      <c r="E7" s="5" t="inlineStr">
        <is>
          <t>15-Mar-26</t>
        </is>
      </c>
      <c r="F7" s="5" t="inlineStr">
        <is>
          <t>SOFR + 350bps (floor 0.50%)</t>
        </is>
      </c>
      <c r="G7" s="5" t="inlineStr">
        <is>
          <t>Cash</t>
        </is>
      </c>
      <c r="H7" s="6" t="n">
        <v>50000000</v>
      </c>
      <c r="I7" s="6" t="n">
        <v>35000000</v>
      </c>
      <c r="J7" s="6" t="n">
        <v>15000000</v>
      </c>
      <c r="K7" s="5" t="inlineStr">
        <is>
          <t>1st Lien Senior Secured</t>
        </is>
      </c>
      <c r="L7" s="5" t="inlineStr">
        <is>
          <t>YES</t>
        </is>
      </c>
      <c r="M7" s="5" t="inlineStr"/>
    </row>
    <row r="8">
      <c r="A8" s="7" t="inlineStr">
        <is>
          <t>Junior Subordinated Notes</t>
        </is>
      </c>
      <c r="B8" s="7" t="inlineStr">
        <is>
          <t>Summit Mezz Partners LP</t>
        </is>
      </c>
      <c r="C8" s="7" t="inlineStr">
        <is>
          <t>Subordinated</t>
        </is>
      </c>
      <c r="D8" s="7" t="inlineStr">
        <is>
          <t>01-Jun-23</t>
        </is>
      </c>
      <c r="E8" s="7" t="inlineStr">
        <is>
          <t>01-Jun-30</t>
        </is>
      </c>
      <c r="F8" s="7" t="inlineStr">
        <is>
          <t>12.00% fixed</t>
        </is>
      </c>
      <c r="G8" s="7" t="inlineStr">
        <is>
          <t>PIK/Cash</t>
        </is>
      </c>
      <c r="H8" s="8" t="n">
        <v>40000000</v>
      </c>
      <c r="I8" s="8" t="n">
        <v>40000000</v>
      </c>
      <c r="J8" s="7" t="n">
        <v>0</v>
      </c>
      <c r="K8" s="7" t="inlineStr">
        <is>
          <t>Unsecured</t>
        </is>
      </c>
      <c r="L8" s="7" t="inlineStr">
        <is>
          <t>DISPUTED</t>
        </is>
      </c>
      <c r="M8" s="7" t="inlineStr">
        <is>
          <t>ERR-002</t>
        </is>
      </c>
    </row>
    <row r="9">
      <c r="A9" s="5" t="inlineStr">
        <is>
          <t>Cap. Lease -- Machinery (Lot A)</t>
        </is>
      </c>
      <c r="B9" s="5" t="inlineStr">
        <is>
          <t>GE Capital Equipment Finance</t>
        </is>
      </c>
      <c r="C9" s="5" t="inlineStr">
        <is>
          <t>Cap. Lease</t>
        </is>
      </c>
      <c r="D9" s="5" t="inlineStr">
        <is>
          <t>01-Apr-22</t>
        </is>
      </c>
      <c r="E9" s="5" t="inlineStr">
        <is>
          <t>31-Mar-27</t>
        </is>
      </c>
      <c r="F9" s="5" t="inlineStr">
        <is>
          <t>4.25% fixed</t>
        </is>
      </c>
      <c r="G9" s="5" t="inlineStr">
        <is>
          <t>Cash</t>
        </is>
      </c>
      <c r="H9" s="6" t="n">
        <v>2800000</v>
      </c>
      <c r="I9" s="6" t="n">
        <v>2200000</v>
      </c>
      <c r="J9" s="5" t="n">
        <v>0</v>
      </c>
      <c r="K9" s="5" t="inlineStr">
        <is>
          <t>Equipment Lien</t>
        </is>
      </c>
      <c r="L9" s="5" t="inlineStr">
        <is>
          <t>YES</t>
        </is>
      </c>
      <c r="M9" s="5" t="inlineStr"/>
    </row>
    <row r="10">
      <c r="A10" s="5" t="inlineStr">
        <is>
          <t>Cap. Lease -- Vehicles</t>
        </is>
      </c>
      <c r="B10" s="5" t="inlineStr">
        <is>
          <t>Wells Fargo Equipment Finance</t>
        </is>
      </c>
      <c r="C10" s="5" t="inlineStr">
        <is>
          <t>Cap. Lease</t>
        </is>
      </c>
      <c r="D10" s="5" t="inlineStr">
        <is>
          <t>15-Jan-23</t>
        </is>
      </c>
      <c r="E10" s="5" t="inlineStr">
        <is>
          <t>14-Jan-26</t>
        </is>
      </c>
      <c r="F10" s="5" t="inlineStr">
        <is>
          <t>5.10% fixed</t>
        </is>
      </c>
      <c r="G10" s="5" t="inlineStr">
        <is>
          <t>Cash</t>
        </is>
      </c>
      <c r="H10" s="6" t="n">
        <v>1400000</v>
      </c>
      <c r="I10" s="6" t="n">
        <v>1100000</v>
      </c>
      <c r="J10" s="5" t="n">
        <v>0</v>
      </c>
      <c r="K10" s="5" t="inlineStr">
        <is>
          <t>Equipment Lien</t>
        </is>
      </c>
      <c r="L10" s="5" t="inlineStr">
        <is>
          <t>YES</t>
        </is>
      </c>
      <c r="M10" s="5" t="inlineStr"/>
    </row>
    <row r="11">
      <c r="A11" s="5" t="inlineStr">
        <is>
          <t>Cap. Lease -- IT Infrastructure</t>
        </is>
      </c>
      <c r="B11" s="5" t="inlineStr">
        <is>
          <t>IBM Credit LLC</t>
        </is>
      </c>
      <c r="C11" s="5" t="inlineStr">
        <is>
          <t>Cap. Lease</t>
        </is>
      </c>
      <c r="D11" s="5" t="inlineStr">
        <is>
          <t>01-Jul-23</t>
        </is>
      </c>
      <c r="E11" s="5" t="inlineStr">
        <is>
          <t>30-Jun-26</t>
        </is>
      </c>
      <c r="F11" s="5" t="inlineStr">
        <is>
          <t>3.50% fixed</t>
        </is>
      </c>
      <c r="G11" s="5" t="inlineStr">
        <is>
          <t>Cash</t>
        </is>
      </c>
      <c r="H11" s="6" t="n">
        <v>1200000</v>
      </c>
      <c r="I11" s="6" t="n">
        <v>900000</v>
      </c>
      <c r="J11" s="5" t="n">
        <v>0</v>
      </c>
      <c r="K11" s="5" t="inlineStr">
        <is>
          <t>Equipment Lien</t>
        </is>
      </c>
      <c r="L11" s="5" t="inlineStr">
        <is>
          <t>YES</t>
        </is>
      </c>
      <c r="M11" s="5" t="inlineStr"/>
    </row>
    <row r="12">
      <c r="A12" s="5" t="inlineStr">
        <is>
          <t>Letters of Credit</t>
        </is>
      </c>
      <c r="B12" s="5" t="inlineStr">
        <is>
          <t>LendCo Private Credit Fund II LP</t>
        </is>
      </c>
      <c r="C12" s="5" t="inlineStr">
        <is>
          <t>LC</t>
        </is>
      </c>
      <c r="D12" s="5" t="inlineStr">
        <is>
          <t>Various</t>
        </is>
      </c>
      <c r="E12" s="5" t="inlineStr">
        <is>
          <t>&lt; 1yr rolling</t>
        </is>
      </c>
      <c r="F12" s="5" t="inlineStr">
        <is>
          <t>1.50% per annum fee</t>
        </is>
      </c>
      <c r="G12" s="5" t="inlineStr">
        <is>
          <t>Fee only</t>
        </is>
      </c>
      <c r="H12" s="6" t="n">
        <v>5000000</v>
      </c>
      <c r="I12" s="6" t="n">
        <v>1800000</v>
      </c>
      <c r="J12" s="6" t="n">
        <v>3200000</v>
      </c>
      <c r="K12" s="5" t="inlineStr">
        <is>
          <t>1st Lien Senior Secured</t>
        </is>
      </c>
      <c r="L12" s="5" t="inlineStr">
        <is>
          <t>YES</t>
        </is>
      </c>
      <c r="M12" s="5" t="inlineStr"/>
    </row>
    <row r="13">
      <c r="A13" s="5" t="inlineStr">
        <is>
          <t>Deferred Compensation Plan</t>
        </is>
      </c>
      <c r="B13" s="5" t="inlineStr">
        <is>
          <t>Various employees</t>
        </is>
      </c>
      <c r="C13" s="5" t="inlineStr">
        <is>
          <t>Internal</t>
        </is>
      </c>
      <c r="D13" s="5" t="inlineStr">
        <is>
          <t>Various</t>
        </is>
      </c>
      <c r="E13" s="5" t="inlineStr">
        <is>
          <t>On termination</t>
        </is>
      </c>
      <c r="F13" s="5" t="inlineStr">
        <is>
          <t>N/A</t>
        </is>
      </c>
      <c r="G13" s="5" t="inlineStr">
        <is>
          <t>Cash</t>
        </is>
      </c>
      <c r="H13" s="6" t="n">
        <v>2100000</v>
      </c>
      <c r="I13" s="6" t="n">
        <v>2100000</v>
      </c>
      <c r="J13" s="5" t="n">
        <v>0</v>
      </c>
      <c r="K13" s="5" t="inlineStr">
        <is>
          <t>Unsecured</t>
        </is>
      </c>
      <c r="L13" s="5" t="inlineStr">
        <is>
          <t>NO (Excl. Indebt.)</t>
        </is>
      </c>
      <c r="M13" s="5" t="inlineStr"/>
    </row>
    <row r="14">
      <c r="A14" s="5" t="inlineStr">
        <is>
          <t>Operating Leases (ASC 842)</t>
        </is>
      </c>
      <c r="B14" s="5" t="inlineStr">
        <is>
          <t>Various landlords</t>
        </is>
      </c>
      <c r="C14" s="5" t="inlineStr">
        <is>
          <t>Operating Lease</t>
        </is>
      </c>
      <c r="D14" s="5" t="inlineStr">
        <is>
          <t>Various</t>
        </is>
      </c>
      <c r="E14" s="5" t="inlineStr">
        <is>
          <t>Various</t>
        </is>
      </c>
      <c r="F14" s="5" t="inlineStr">
        <is>
          <t>N/A</t>
        </is>
      </c>
      <c r="G14" s="5" t="inlineStr">
        <is>
          <t>Cash</t>
        </is>
      </c>
      <c r="H14" s="6" t="n">
        <v>38500000</v>
      </c>
      <c r="I14" s="6" t="n">
        <v>38500000</v>
      </c>
      <c r="J14" s="5" t="n">
        <v>0</v>
      </c>
      <c r="K14" s="5" t="inlineStr">
        <is>
          <t>N/A</t>
        </is>
      </c>
      <c r="L14" s="5" t="inlineStr">
        <is>
          <t>NO (Operating Lease)</t>
        </is>
      </c>
      <c r="M14" s="5" t="inlineStr"/>
    </row>
    <row r="15">
      <c r="A15" s="9" t="inlineStr">
        <is>
          <t>TOTAL INDEBTEDNESS (Borrower -- excl. Jr Sub Notes)</t>
        </is>
      </c>
      <c r="I15" s="10" t="n">
        <v>166000000</v>
      </c>
      <c r="J15" s="11" t="n"/>
      <c r="K15" s="11" t="n"/>
      <c r="L15" s="11" t="n"/>
      <c r="M15" s="9" t="inlineStr">
        <is>
          <t>Excludes $40M Jr Sub</t>
        </is>
      </c>
    </row>
    <row r="16">
      <c r="A16" s="9" t="inlineStr">
        <is>
          <t>TOTAL INDEBTEDNESS (Correct -- incl. Jr Sub Notes)</t>
        </is>
      </c>
      <c r="I16" s="10" t="n">
        <v>206000000</v>
      </c>
      <c r="J16" s="11" t="n"/>
      <c r="K16" s="11" t="n"/>
      <c r="L16" s="11" t="n"/>
      <c r="M16" s="9" t="inlineStr">
        <is>
          <t>Correct per agreement</t>
        </is>
      </c>
    </row>
    <row r="17">
      <c r="A17" s="9" t="inlineStr">
        <is>
          <t>UNRESTRICTED CASH</t>
        </is>
      </c>
      <c r="I17" s="10" t="n">
        <v>18500000</v>
      </c>
      <c r="J17" s="11" t="n"/>
      <c r="K17" s="11" t="n"/>
      <c r="L17" s="11" t="n"/>
      <c r="M17" s="9" t="inlineStr">
        <is>
          <t>GL 1001</t>
        </is>
      </c>
    </row>
    <row r="18">
      <c r="A18" s="9" t="inlineStr">
        <is>
          <t>CASH CAP (per Section 1.01)</t>
        </is>
      </c>
      <c r="I18" s="10" t="n">
        <v>25000000</v>
      </c>
      <c r="J18" s="11" t="n"/>
      <c r="K18" s="11" t="n"/>
      <c r="L18" s="11" t="n"/>
      <c r="M18" s="9" t="inlineStr">
        <is>
          <t>min(cash, cap) = $18.5M</t>
        </is>
      </c>
    </row>
    <row r="19">
      <c r="A19" s="9" t="inlineStr">
        <is>
          <t>NET DEBT (Borrower)</t>
        </is>
      </c>
      <c r="I19" s="10" t="n">
        <v>147500000</v>
      </c>
      <c r="J19" s="11" t="n"/>
      <c r="K19" s="11" t="n"/>
      <c r="L19" s="11" t="n"/>
      <c r="M19" s="9">
        <f> 166M - 18.5M</f>
        <v/>
      </c>
    </row>
    <row r="20">
      <c r="A20" s="9" t="inlineStr">
        <is>
          <t>NET DEBT (Correct)</t>
        </is>
      </c>
      <c r="I20" s="10" t="n">
        <v>187500000</v>
      </c>
      <c r="J20" s="11" t="n"/>
      <c r="K20" s="11" t="n"/>
      <c r="L20" s="11" t="n"/>
      <c r="M20" s="9">
        <f> 206M - 18.5M</f>
        <v/>
      </c>
    </row>
    <row r="22" ht="36" customHeight="1">
      <c r="A22" s="12" t="inlineStr">
        <is>
          <t>ERR-002: Junior Subordinated Notes ($40,000,000) excluded from Total Indebtedness. No written Subordination Agreement approved by Administrative Agent per Section 1.01(e)(v). Correct Total Indebtedness = $206,000,000. Correct Net Debt = $187,500,000.</t>
        </is>
      </c>
    </row>
  </sheetData>
  <mergeCells count="10">
    <mergeCell ref="A18:H18"/>
    <mergeCell ref="A1:M1"/>
    <mergeCell ref="A15:H15"/>
    <mergeCell ref="A20:H20"/>
    <mergeCell ref="A16:H16"/>
    <mergeCell ref="A22:M22"/>
    <mergeCell ref="A3:M3"/>
    <mergeCell ref="A19:H19"/>
    <mergeCell ref="A2:M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4A8B"/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</cols>
  <sheetData>
    <row r="1">
      <c r="A1" s="13" t="inlineStr">
        <is>
          <t>FirstBank Corp -- PAYMENT HISTORY (8 Quarters)</t>
        </is>
      </c>
    </row>
    <row r="3" ht="25" customHeight="1">
      <c r="A3" s="4" t="inlineStr">
        <is>
          <t>Facility</t>
        </is>
      </c>
      <c r="B3" s="4" t="inlineStr">
        <is>
          <t>Q1-2023</t>
        </is>
      </c>
      <c r="C3" s="4" t="inlineStr">
        <is>
          <t>Q2-2023</t>
        </is>
      </c>
      <c r="D3" s="4" t="inlineStr">
        <is>
          <t>Q3-2023</t>
        </is>
      </c>
      <c r="E3" s="4" t="inlineStr">
        <is>
          <t>Q4-2023</t>
        </is>
      </c>
      <c r="F3" s="4" t="inlineStr">
        <is>
          <t>Q1-2024</t>
        </is>
      </c>
      <c r="G3" s="4" t="inlineStr">
        <is>
          <t>Q2-2024</t>
        </is>
      </c>
      <c r="H3" s="4" t="inlineStr">
        <is>
          <t>Q3-2024</t>
        </is>
      </c>
      <c r="I3" s="4" t="inlineStr">
        <is>
          <t>Q4-2024</t>
        </is>
      </c>
      <c r="J3" s="4" t="inlineStr">
        <is>
          <t>Status</t>
        </is>
      </c>
    </row>
    <row r="4">
      <c r="A4" s="5" t="inlineStr">
        <is>
          <t>Senior Term Loan A -- Principal</t>
        </is>
      </c>
      <c r="B4" s="6" t="n">
        <v>375000</v>
      </c>
      <c r="C4" s="6" t="n">
        <v>375000</v>
      </c>
      <c r="D4" s="6" t="n">
        <v>375000</v>
      </c>
      <c r="E4" s="6" t="n">
        <v>375000</v>
      </c>
      <c r="F4" s="6" t="n">
        <v>375000</v>
      </c>
      <c r="G4" s="6" t="n">
        <v>375000</v>
      </c>
      <c r="H4" s="6" t="n">
        <v>375000</v>
      </c>
      <c r="I4" s="6" t="n">
        <v>375000</v>
      </c>
      <c r="J4" s="5" t="inlineStr">
        <is>
          <t>Current</t>
        </is>
      </c>
    </row>
    <row r="5">
      <c r="A5" s="5" t="inlineStr">
        <is>
          <t>Senior Term Loan A -- Interest</t>
        </is>
      </c>
      <c r="B5" s="6" t="n">
        <v>2680000</v>
      </c>
      <c r="C5" s="6" t="n">
        <v>2690000</v>
      </c>
      <c r="D5" s="6" t="n">
        <v>2700000</v>
      </c>
      <c r="E5" s="6" t="n">
        <v>2710000</v>
      </c>
      <c r="F5" s="6" t="n">
        <v>2720000</v>
      </c>
      <c r="G5" s="6" t="n">
        <v>2730000</v>
      </c>
      <c r="H5" s="6" t="n">
        <v>2740000</v>
      </c>
      <c r="I5" s="6" t="n">
        <v>2750000</v>
      </c>
      <c r="J5" s="5" t="inlineStr">
        <is>
          <t>Current</t>
        </is>
      </c>
    </row>
    <row r="6">
      <c r="A6" s="5" t="inlineStr">
        <is>
          <t>Revolving Credit Facility -- Interest</t>
        </is>
      </c>
      <c r="B6" s="6" t="n">
        <v>180000</v>
      </c>
      <c r="C6" s="6" t="n">
        <v>190000</v>
      </c>
      <c r="D6" s="6" t="n">
        <v>200000</v>
      </c>
      <c r="E6" s="6" t="n">
        <v>210000</v>
      </c>
      <c r="F6" s="6" t="n">
        <v>220000</v>
      </c>
      <c r="G6" s="6" t="n">
        <v>230000</v>
      </c>
      <c r="H6" s="6" t="n">
        <v>240000</v>
      </c>
      <c r="I6" s="6" t="n">
        <v>250000</v>
      </c>
      <c r="J6" s="5" t="inlineStr">
        <is>
          <t>Current</t>
        </is>
      </c>
    </row>
    <row r="7">
      <c r="A7" s="5" t="inlineStr">
        <is>
          <t>Jr Sub Notes -- PIK Accrual</t>
        </is>
      </c>
      <c r="B7" s="6" t="n">
        <v>1140000</v>
      </c>
      <c r="C7" s="6" t="n">
        <v>1140000</v>
      </c>
      <c r="D7" s="6" t="n">
        <v>1140000</v>
      </c>
      <c r="E7" s="6" t="n">
        <v>1140000</v>
      </c>
      <c r="F7" s="6" t="n">
        <v>1140000</v>
      </c>
      <c r="G7" s="6" t="n">
        <v>1140000</v>
      </c>
      <c r="H7" s="6" t="n">
        <v>1140000</v>
      </c>
      <c r="I7" s="6" t="n">
        <v>1140000</v>
      </c>
      <c r="J7" s="5" t="inlineStr">
        <is>
          <t>PIK -- no cash</t>
        </is>
      </c>
    </row>
    <row r="8">
      <c r="A8" s="5" t="inlineStr">
        <is>
          <t>Cap. Leases -- Combined</t>
        </is>
      </c>
      <c r="B8" s="6" t="n">
        <v>310000</v>
      </c>
      <c r="C8" s="6" t="n">
        <v>310000</v>
      </c>
      <c r="D8" s="6" t="n">
        <v>310000</v>
      </c>
      <c r="E8" s="6" t="n">
        <v>310000</v>
      </c>
      <c r="F8" s="6" t="n">
        <v>310000</v>
      </c>
      <c r="G8" s="6" t="n">
        <v>310000</v>
      </c>
      <c r="H8" s="6" t="n">
        <v>310000</v>
      </c>
      <c r="I8" s="6" t="n">
        <v>310000</v>
      </c>
      <c r="J8" s="5" t="inlineStr">
        <is>
          <t>Current</t>
        </is>
      </c>
    </row>
    <row r="9">
      <c r="A9" s="5" t="inlineStr">
        <is>
          <t>LC Fees</t>
        </is>
      </c>
      <c r="B9" s="6" t="n">
        <v>22500</v>
      </c>
      <c r="C9" s="6" t="n">
        <v>22500</v>
      </c>
      <c r="D9" s="6" t="n">
        <v>22500</v>
      </c>
      <c r="E9" s="6" t="n">
        <v>22500</v>
      </c>
      <c r="F9" s="6" t="n">
        <v>22500</v>
      </c>
      <c r="G9" s="6" t="n">
        <v>22500</v>
      </c>
      <c r="H9" s="6" t="n">
        <v>22500</v>
      </c>
      <c r="I9" s="6" t="n">
        <v>22500</v>
      </c>
      <c r="J9" s="5" t="inlineStr">
        <is>
          <t>Current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8" customWidth="1" min="4" max="4"/>
    <col width="30" customWidth="1" min="5" max="5"/>
  </cols>
  <sheetData>
    <row r="1">
      <c r="A1" s="13" t="inlineStr">
        <is>
          <t>FirstBank Corp -- AMORTIZATION SCHEDULE</t>
        </is>
      </c>
    </row>
    <row r="3">
      <c r="A3" s="14" t="inlineStr">
        <is>
          <t>Period</t>
        </is>
      </c>
      <c r="B3" s="14" t="inlineStr">
        <is>
          <t>Facility</t>
        </is>
      </c>
      <c r="C3" s="14" t="inlineStr">
        <is>
          <t>Scheduled Payment</t>
        </is>
      </c>
      <c r="D3" s="14" t="inlineStr">
        <is>
          <t>Remaining Balance</t>
        </is>
      </c>
      <c r="E3" s="14" t="inlineStr">
        <is>
          <t>Notes</t>
        </is>
      </c>
    </row>
    <row r="4">
      <c r="A4" s="5" t="inlineStr">
        <is>
          <t>Q1-2025</t>
        </is>
      </c>
      <c r="B4" s="5" t="inlineStr">
        <is>
          <t>Senior Term Loan A</t>
        </is>
      </c>
      <c r="C4" s="6" t="n">
        <v>375000</v>
      </c>
      <c r="D4" s="6" t="n">
        <v>124625000</v>
      </c>
      <c r="E4" s="5" t="inlineStr">
        <is>
          <t>Scheduled 1% p.a.</t>
        </is>
      </c>
    </row>
    <row r="5">
      <c r="A5" s="5" t="inlineStr">
        <is>
          <t>Q2-2025</t>
        </is>
      </c>
      <c r="B5" s="5" t="inlineStr">
        <is>
          <t>Senior Term Loan A</t>
        </is>
      </c>
      <c r="C5" s="6" t="n">
        <v>375000</v>
      </c>
      <c r="D5" s="6" t="n">
        <v>124250000</v>
      </c>
      <c r="E5" s="5" t="inlineStr">
        <is>
          <t>Scheduled 1% p.a.</t>
        </is>
      </c>
    </row>
    <row r="6">
      <c r="A6" s="5" t="inlineStr">
        <is>
          <t>Q3-2025</t>
        </is>
      </c>
      <c r="B6" s="5" t="inlineStr">
        <is>
          <t>Senior Term Loan A</t>
        </is>
      </c>
      <c r="C6" s="6" t="n">
        <v>375000</v>
      </c>
      <c r="D6" s="6" t="n">
        <v>123875000</v>
      </c>
      <c r="E6" s="5" t="inlineStr">
        <is>
          <t>Scheduled 1% p.a.</t>
        </is>
      </c>
    </row>
    <row r="7">
      <c r="A7" s="5" t="inlineStr">
        <is>
          <t>Q4-2025</t>
        </is>
      </c>
      <c r="B7" s="5" t="inlineStr">
        <is>
          <t>Senior Term Loan A</t>
        </is>
      </c>
      <c r="C7" s="6" t="n">
        <v>375000</v>
      </c>
      <c r="D7" s="6" t="n">
        <v>123500000</v>
      </c>
      <c r="E7" s="5" t="inlineStr">
        <is>
          <t>Scheduled 1% p.a.</t>
        </is>
      </c>
    </row>
    <row r="8">
      <c r="A8" s="5" t="inlineStr">
        <is>
          <t>FY2026</t>
        </is>
      </c>
      <c r="B8" s="5" t="inlineStr">
        <is>
          <t>Senior Term Loan A</t>
        </is>
      </c>
      <c r="C8" s="6" t="n">
        <v>1500000</v>
      </c>
      <c r="D8" s="6" t="n">
        <v>122000000</v>
      </c>
      <c r="E8" s="5" t="inlineStr">
        <is>
          <t>Scheduled 1% p.a.</t>
        </is>
      </c>
    </row>
    <row r="9">
      <c r="A9" s="5" t="inlineStr">
        <is>
          <t>FY2027</t>
        </is>
      </c>
      <c r="B9" s="5" t="inlineStr">
        <is>
          <t>Senior Term Loan A</t>
        </is>
      </c>
      <c r="C9" s="6" t="n">
        <v>1500000</v>
      </c>
      <c r="D9" s="6" t="n">
        <v>120500000</v>
      </c>
      <c r="E9" s="5" t="inlineStr">
        <is>
          <t>Scheduled 1% p.a.</t>
        </is>
      </c>
    </row>
    <row r="10">
      <c r="A10" s="9" t="inlineStr">
        <is>
          <t>Q1-2028</t>
        </is>
      </c>
      <c r="B10" s="9" t="inlineStr">
        <is>
          <t>Senior Term Loan A</t>
        </is>
      </c>
      <c r="C10" s="10" t="n">
        <v>120500000</v>
      </c>
      <c r="D10" s="9" t="n">
        <v>0</v>
      </c>
      <c r="E10" s="9" t="inlineStr">
        <is>
          <t>BULLET REPAYMENT at maturity</t>
        </is>
      </c>
    </row>
    <row r="11">
      <c r="A11" s="5" t="inlineStr">
        <is>
          <t>Q1-2025</t>
        </is>
      </c>
      <c r="B11" s="5" t="inlineStr">
        <is>
          <t>Revolving Credit Facility</t>
        </is>
      </c>
      <c r="C11" s="5" t="inlineStr">
        <is>
          <t>Revolving</t>
        </is>
      </c>
      <c r="D11" s="5" t="inlineStr">
        <is>
          <t>35000000</t>
        </is>
      </c>
      <c r="E11" s="5" t="inlineStr">
        <is>
          <t>No scheduled amortization</t>
        </is>
      </c>
    </row>
    <row r="12">
      <c r="A12" s="5" t="inlineStr">
        <is>
          <t>15-Mar-2026</t>
        </is>
      </c>
      <c r="B12" s="5" t="inlineStr">
        <is>
          <t>Revolving Credit Facility</t>
        </is>
      </c>
      <c r="C12" s="5" t="inlineStr">
        <is>
          <t>MATURITY</t>
        </is>
      </c>
      <c r="D12" s="5" t="inlineStr">
        <is>
          <t>0</t>
        </is>
      </c>
      <c r="E12" s="5" t="inlineStr">
        <is>
          <t>Full repayment at maturity</t>
        </is>
      </c>
    </row>
    <row r="13">
      <c r="A13" s="9" t="inlineStr">
        <is>
          <t>01-Jun-2030</t>
        </is>
      </c>
      <c r="B13" s="9" t="inlineStr">
        <is>
          <t>Junior Subordinated Notes</t>
        </is>
      </c>
      <c r="C13" s="9" t="inlineStr">
        <is>
          <t>MATURITY</t>
        </is>
      </c>
      <c r="D13" s="9" t="inlineStr">
        <is>
          <t>40000000</t>
        </is>
      </c>
      <c r="E13" s="9" t="inlineStr">
        <is>
          <t>Bullet -- PIK accretes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14" customWidth="1" min="7" max="7"/>
  </cols>
  <sheetData>
    <row r="1">
      <c r="A1" s="13" t="inlineStr">
        <is>
          <t>FirstBank Corp -- COVENANT HEADROOM ANALYSIS</t>
        </is>
      </c>
    </row>
    <row r="3" ht="28" customHeight="1">
      <c r="A3" s="4" t="inlineStr">
        <is>
          <t>Covenant</t>
        </is>
      </c>
      <c r="B3" s="4" t="inlineStr">
        <is>
          <t>Section</t>
        </is>
      </c>
      <c r="C3" s="4" t="inlineStr">
        <is>
          <t>Threshold</t>
        </is>
      </c>
      <c r="D3" s="4" t="inlineStr">
        <is>
          <t>Borrower Reported</t>
        </is>
      </c>
      <c r="E3" s="4" t="inlineStr">
        <is>
          <t>Auditor Correct</t>
        </is>
      </c>
      <c r="F3" s="4" t="inlineStr">
        <is>
          <t>Headroom (Borrower)</t>
        </is>
      </c>
      <c r="G3" s="4" t="inlineStr">
        <is>
          <t>Status</t>
        </is>
      </c>
    </row>
    <row r="4">
      <c r="A4" s="5" t="inlineStr">
        <is>
          <t>Net Leverage Ratio</t>
        </is>
      </c>
      <c r="B4" s="5" t="inlineStr">
        <is>
          <t>S7.10(a)</t>
        </is>
      </c>
      <c r="C4" s="5" t="inlineStr">
        <is>
          <t>&lt;= 5.00x</t>
        </is>
      </c>
      <c r="D4" s="15" t="n">
        <v>4.228</v>
      </c>
      <c r="E4" s="15" t="n">
        <v>1.374</v>
      </c>
      <c r="F4" s="5" t="inlineStr">
        <is>
          <t>0.772x headroom (borrower)</t>
        </is>
      </c>
      <c r="G4" s="5" t="inlineStr">
        <is>
          <t>COMPLIANT -- EXCEPTION</t>
        </is>
      </c>
    </row>
    <row r="5">
      <c r="A5" s="5" t="inlineStr">
        <is>
          <t>Interest Coverage Ratio</t>
        </is>
      </c>
      <c r="B5" s="5" t="inlineStr">
        <is>
          <t>S7.10(b)</t>
        </is>
      </c>
      <c r="C5" s="5" t="inlineStr">
        <is>
          <t>&gt;= 2.50x</t>
        </is>
      </c>
      <c r="D5" s="15" t="n">
        <v>4.55</v>
      </c>
      <c r="E5" s="15" t="n">
        <v>4.72</v>
      </c>
      <c r="F5" s="5" t="inlineStr">
        <is>
          <t>2.050x headroom</t>
        </is>
      </c>
      <c r="G5" s="5" t="inlineStr">
        <is>
          <t>COMPLIANT</t>
        </is>
      </c>
    </row>
    <row r="6">
      <c r="A6" s="5" t="inlineStr">
        <is>
          <t>Fixed Charge Coverage</t>
        </is>
      </c>
      <c r="B6" s="5" t="inlineStr">
        <is>
          <t>S7.10(c)</t>
        </is>
      </c>
      <c r="C6" s="5" t="inlineStr">
        <is>
          <t>&gt;= 1.20x</t>
        </is>
      </c>
      <c r="D6" s="15" t="n">
        <v>2.026</v>
      </c>
      <c r="E6" s="15" t="n">
        <v>2.18</v>
      </c>
      <c r="F6" s="5" t="inlineStr">
        <is>
          <t>0.826x headroom</t>
        </is>
      </c>
      <c r="G6" s="5" t="inlineStr">
        <is>
          <t>COMPLIANT</t>
        </is>
      </c>
    </row>
    <row r="7">
      <c r="A7" s="5" t="inlineStr">
        <is>
          <t>Minimum EBITDA</t>
        </is>
      </c>
      <c r="B7" s="5" t="inlineStr">
        <is>
          <t>S7.10(d)</t>
        </is>
      </c>
      <c r="C7" s="5" t="inlineStr">
        <is>
          <t>&gt;= $95M</t>
        </is>
      </c>
      <c r="D7" s="5" t="inlineStr">
        <is>
          <t>$131.0M</t>
        </is>
      </c>
      <c r="E7" s="5" t="inlineStr">
        <is>
          <t>$136.4M</t>
        </is>
      </c>
      <c r="F7" s="5" t="inlineStr">
        <is>
          <t>$36.0M headroom</t>
        </is>
      </c>
      <c r="G7" s="5" t="inlineStr">
        <is>
          <t>COMPLIANT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95959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s="16" t="inlineStr">
        <is>
          <t>DOCUMENT METADATA</t>
        </is>
      </c>
    </row>
    <row r="3" ht="16" customHeight="1">
      <c r="A3" s="17" t="inlineStr">
        <is>
          <t>Document</t>
        </is>
      </c>
      <c r="B3" s="18" t="inlineStr">
        <is>
          <t>Standalone Debt Schedule</t>
        </is>
      </c>
    </row>
    <row r="4" ht="16" customHeight="1">
      <c r="A4" s="17" t="inlineStr">
        <is>
          <t>Borrower</t>
        </is>
      </c>
      <c r="B4" s="18" t="inlineStr">
        <is>
          <t>FirstBank Corp</t>
        </is>
      </c>
    </row>
    <row r="5" ht="16" customHeight="1">
      <c r="A5" s="17" t="inlineStr">
        <is>
          <t>Lender / Agent</t>
        </is>
      </c>
      <c r="B5" s="18" t="inlineStr">
        <is>
          <t>LendCo Private Credit Fund II LP</t>
        </is>
      </c>
    </row>
    <row r="6" ht="16" customHeight="1">
      <c r="A6" s="17" t="inlineStr">
        <is>
          <t>Testing Date</t>
        </is>
      </c>
      <c r="B6" s="18" t="inlineStr">
        <is>
          <t>December 31, 2024</t>
        </is>
      </c>
    </row>
    <row r="7" ht="16" customHeight="1">
      <c r="A7" s="17" t="inlineStr">
        <is>
          <t>Prepared By</t>
        </is>
      </c>
      <c r="B7" s="18" t="inlineStr">
        <is>
          <t>Finance Department -- Treasury Group</t>
        </is>
      </c>
    </row>
    <row r="8" ht="16" customHeight="1">
      <c r="A8" s="17" t="inlineStr">
        <is>
          <t>Approved By</t>
        </is>
      </c>
      <c r="B8" s="18" t="inlineStr">
        <is>
          <t>Michael R. Hartwell, Chief Financial Officer</t>
        </is>
      </c>
    </row>
    <row r="9" ht="16" customHeight="1">
      <c r="A9" s="17" t="inlineStr">
        <is>
          <t>Cross-Reference</t>
        </is>
      </c>
      <c r="B9" s="18" t="inlineStr">
        <is>
          <t>Numbers tie to Trial Balance and Compliance Certificate</t>
        </is>
      </c>
    </row>
    <row r="10" ht="16" customHeight="1">
      <c r="A10" s="17" t="inlineStr">
        <is>
          <t>ERR-002 Flag</t>
        </is>
      </c>
      <c r="B10" s="18" t="inlineStr">
        <is>
          <t>Junior Subordinated Notes ($40M) excluded by borrower -- no Admin Agent consent on file</t>
        </is>
      </c>
    </row>
    <row r="11" ht="16" customHeight="1">
      <c r="A11" s="17" t="inlineStr">
        <is>
          <t>SHA-256 Hash</t>
        </is>
      </c>
      <c r="B11" s="18" t="inlineStr">
        <is>
          <t>&lt;&lt;TO BE COMPUTED BY PIPELINE&gt;&gt;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2026-05-28T08:52:23Z</dcterms:created>
  <dcterms:modified xmlns:dcterms="http://purl.org/dc/terms/" xmlns:xsi="http://www.w3.org/2001/XMLSchema-instance" xsi:type="dcterms:W3CDTF">2026-05-28T08:52:23Z</dcterms:modified>
</cp:coreProperties>
</file>